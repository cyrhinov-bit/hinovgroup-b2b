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uvci-my.sharepoint.com/personal/y_ouattara_sante_gouv_ci/Documents/Numérisations/"/>
    </mc:Choice>
  </mc:AlternateContent>
  <xr:revisionPtr revIDLastSave="5" documentId="13_ncr:1_{E50AEDEF-838A-496C-AF75-067C15EA22FC}" xr6:coauthVersionLast="47" xr6:coauthVersionMax="47" xr10:uidLastSave="{652E0D05-0D1B-4089-A5B6-2912FD893234}"/>
  <bookViews>
    <workbookView xWindow="-120" yWindow="-120" windowWidth="29040" windowHeight="15720" xr2:uid="{00000000-000D-0000-FFFF-FFFF00000000}"/>
  </bookViews>
  <sheets>
    <sheet name="SEPTEMBRE" sheetId="21" r:id="rId1"/>
    <sheet name="Données de Liste" sheetId="2" r:id="rId2"/>
  </sheets>
  <definedNames>
    <definedName name="Commercial" localSheetId="0">Personnes[Nom]</definedName>
    <definedName name="Commercial">Personnes[Nom]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1" l="1"/>
  <c r="I8" i="21"/>
  <c r="K7" i="21" l="1"/>
  <c r="I7" i="21"/>
  <c r="I6" i="21" l="1"/>
  <c r="I16" i="21"/>
  <c r="J6" i="21" l="1"/>
  <c r="K6" i="21" s="1"/>
  <c r="L17" i="21"/>
  <c r="H17" i="21"/>
  <c r="G17" i="21"/>
  <c r="M16" i="21"/>
  <c r="K16" i="21"/>
  <c r="M15" i="21"/>
  <c r="M14" i="21"/>
  <c r="M13" i="21"/>
  <c r="M12" i="21"/>
  <c r="M11" i="21"/>
  <c r="M10" i="21"/>
  <c r="M8" i="21"/>
  <c r="M7" i="21"/>
  <c r="M6" i="21"/>
  <c r="M17" i="21" l="1"/>
  <c r="I17" i="21" l="1"/>
  <c r="J17" i="21"/>
  <c r="K17" i="21"/>
</calcChain>
</file>

<file path=xl/sharedStrings.xml><?xml version="1.0" encoding="utf-8"?>
<sst xmlns="http://schemas.openxmlformats.org/spreadsheetml/2006/main" count="48" uniqueCount="45">
  <si>
    <t>CLIENT/AFFAIRES</t>
  </si>
  <si>
    <t>COMMERCIAL</t>
  </si>
  <si>
    <t>DATE LIVRAISON</t>
  </si>
  <si>
    <t>SERVICE</t>
  </si>
  <si>
    <t>CATEGORIE</t>
  </si>
  <si>
    <t>MONTANT A PAYER</t>
  </si>
  <si>
    <t>MONTANT UTILISE</t>
  </si>
  <si>
    <t>PAYE</t>
  </si>
  <si>
    <t>PRIME 10%</t>
  </si>
  <si>
    <t>RESTE</t>
  </si>
  <si>
    <t>INFORMATIQUE</t>
  </si>
  <si>
    <t>CORIS</t>
  </si>
  <si>
    <t xml:space="preserve"> </t>
  </si>
  <si>
    <t></t>
  </si>
  <si>
    <t>BOSSO</t>
  </si>
  <si>
    <t>MEDLOG</t>
  </si>
  <si>
    <t>CARTOUCHE</t>
  </si>
  <si>
    <t>Listes du Personnels</t>
  </si>
  <si>
    <t>Données du Plan Marketing</t>
  </si>
  <si>
    <t>Nom</t>
  </si>
  <si>
    <t>Titre</t>
  </si>
  <si>
    <t>MISS AKOSSI GRACE-OLIVIA</t>
  </si>
  <si>
    <t>Directrice Administrative</t>
  </si>
  <si>
    <t>En cours</t>
  </si>
  <si>
    <t>Non Commencé</t>
  </si>
  <si>
    <t>NON</t>
  </si>
  <si>
    <t>Terminé</t>
  </si>
  <si>
    <t>MISS BOSSO ANGE EMANUELA</t>
  </si>
  <si>
    <t>Responsable Commerciale</t>
  </si>
  <si>
    <t>Miss GOUAN PERLET GRACE</t>
  </si>
  <si>
    <t>Assistante Commerciale</t>
  </si>
  <si>
    <t>Mr MIAN JEAN LOUIS</t>
  </si>
  <si>
    <t>Assistant Commercial</t>
  </si>
  <si>
    <t>Mr N'GUETTA EBA JEAN PAUL</t>
  </si>
  <si>
    <t>Miss DIALLO SINAN</t>
  </si>
  <si>
    <t>INFOGRAPHE</t>
  </si>
  <si>
    <t>Mr OUATTARA</t>
  </si>
  <si>
    <t>Directeur Général</t>
  </si>
  <si>
    <t>DATE DE PAYEMENT</t>
  </si>
  <si>
    <t>CASQUE</t>
  </si>
  <si>
    <t>IMPRIMERIE</t>
  </si>
  <si>
    <t>MARGE AVEC PRIME</t>
  </si>
  <si>
    <t>MARGE HINOV</t>
  </si>
  <si>
    <t>MEHI</t>
  </si>
  <si>
    <t>MACARON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</si>
</sst>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#,##0\ _€;[Red]#,##0\ _€"/>
    <numFmt numFmtId="165" formatCode="#,##0\ _€"/>
  </numFmts>
  <fonts count="27" x14ac:knownFonts="1">
    <font>
      <sz val="11"/>
      <color theme="1"/>
      <name val="Aptos Narrow"/>
      <charset val="134"/>
      <scheme val="minor"/>
    </font>
    <font>
      <sz val="20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36"/>
      <color rgb="FFC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2060"/>
      <name val="Aptos Narrow"/>
      <family val="2"/>
    </font>
    <font>
      <b/>
      <sz val="11"/>
      <color rgb="FFEE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6"/>
      <color rgb="FF002060"/>
      <name val="Aptos Narrow"/>
      <family val="2"/>
      <charset val="134"/>
      <scheme val="minor"/>
    </font>
    <font>
      <b/>
      <sz val="16"/>
      <color rgb="FF00B050"/>
      <name val="Aptos Narrow"/>
      <family val="2"/>
      <charset val="134"/>
      <scheme val="minor"/>
    </font>
    <font>
      <b/>
      <sz val="16"/>
      <color rgb="FF0070C0"/>
      <name val="Aptos Narrow"/>
      <family val="2"/>
      <charset val="134"/>
      <scheme val="minor"/>
    </font>
    <font>
      <b/>
      <sz val="18"/>
      <color theme="1"/>
      <name val="Aptos Narrow"/>
      <family val="2"/>
      <charset val="134"/>
      <scheme val="minor"/>
    </font>
    <font>
      <b/>
      <sz val="16"/>
      <color rgb="FFFF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9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</cellStyleXfs>
  <cellXfs count="57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2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4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7" borderId="0" xfId="0" applyFill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8" borderId="0" xfId="0" applyFill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14" fontId="8" fillId="7" borderId="0" xfId="0" applyNumberFormat="1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164" fontId="13" fillId="7" borderId="0" xfId="1" applyNumberFormat="1" applyFont="1" applyFill="1" applyAlignment="1">
      <alignment horizontal="center" vertical="center"/>
    </xf>
    <xf numFmtId="164" fontId="14" fillId="7" borderId="5" xfId="0" applyNumberFormat="1" applyFont="1" applyFill="1" applyBorder="1" applyAlignment="1">
      <alignment horizontal="center"/>
    </xf>
    <xf numFmtId="3" fontId="8" fillId="7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164" fontId="11" fillId="8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0" fontId="15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3" fontId="7" fillId="0" borderId="0" xfId="0" applyNumberFormat="1" applyFont="1"/>
    <xf numFmtId="0" fontId="17" fillId="0" borderId="0" xfId="0" applyFont="1"/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right"/>
    </xf>
    <xf numFmtId="3" fontId="18" fillId="0" borderId="0" xfId="0" applyNumberFormat="1" applyFont="1"/>
    <xf numFmtId="0" fontId="18" fillId="0" borderId="0" xfId="0" applyFont="1"/>
    <xf numFmtId="14" fontId="18" fillId="0" borderId="0" xfId="0" applyNumberFormat="1" applyFont="1" applyAlignment="1">
      <alignment horizontal="right"/>
    </xf>
    <xf numFmtId="3" fontId="6" fillId="0" borderId="0" xfId="0" applyNumberFormat="1" applyFont="1"/>
    <xf numFmtId="0" fontId="22" fillId="7" borderId="0" xfId="0" applyFont="1" applyFill="1" applyAlignment="1">
      <alignment horizontal="center" vertical="center"/>
    </xf>
    <xf numFmtId="14" fontId="23" fillId="7" borderId="0" xfId="0" applyNumberFormat="1" applyFont="1" applyFill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4" fontId="8" fillId="8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14" fontId="14" fillId="7" borderId="0" xfId="0" applyNumberFormat="1" applyFont="1" applyFill="1" applyAlignment="1">
      <alignment horizontal="center" vertical="center"/>
    </xf>
    <xf numFmtId="164" fontId="14" fillId="7" borderId="0" xfId="0" applyNumberFormat="1" applyFont="1" applyFill="1" applyAlignment="1">
      <alignment horizontal="center" vertical="center"/>
    </xf>
    <xf numFmtId="164" fontId="26" fillId="7" borderId="6" xfId="1" applyNumberFormat="1" applyFont="1" applyFill="1" applyBorder="1" applyAlignment="1">
      <alignment horizontal="center" vertical="center"/>
    </xf>
    <xf numFmtId="164" fontId="11" fillId="7" borderId="0" xfId="1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 wrapText="1"/>
    </xf>
    <xf numFmtId="0" fontId="1" fillId="2" borderId="0" xfId="3" applyFont="1" applyFill="1" applyAlignment="1">
      <alignment horizontal="center" vertical="center"/>
    </xf>
    <xf numFmtId="0" fontId="2" fillId="0" borderId="0" xfId="2" applyAlignment="1">
      <alignment horizontal="center" vertical="center" wrapText="1"/>
    </xf>
  </cellXfs>
  <cellStyles count="5">
    <cellStyle name="Lien hypertexte" xfId="2" builtinId="8"/>
    <cellStyle name="Monétaire" xfId="1" builtinId="4"/>
    <cellStyle name="Normal" xfId="0" builtinId="0"/>
    <cellStyle name="Titre" xfId="3" builtinId="15"/>
    <cellStyle name="Titre 2" xfId="4" builtinId="17"/>
  </cellStyles>
  <dxfs count="17">
    <dxf>
      <alignment horizontal="left" vertical="center" wrapText="1" indent="1"/>
    </dxf>
    <dxf>
      <alignment horizontal="left" vertical="center" wrapText="1" indent="1"/>
    </dxf>
    <dxf>
      <font>
        <b/>
        <strike val="0"/>
        <u val="none"/>
        <sz val="16"/>
        <color rgb="FF002060"/>
        <name val="Aptos Narrow"/>
        <family val="2"/>
        <scheme val="none"/>
      </font>
      <numFmt numFmtId="164" formatCode="#,##0\ _€;[Red]#,##0\ _€"/>
      <alignment horizontal="center"/>
    </dxf>
    <dxf>
      <font>
        <b/>
        <strike val="0"/>
        <u val="none"/>
        <sz val="16"/>
        <color rgb="FF002060"/>
        <name val="Aptos Narrow"/>
        <family val="2"/>
        <scheme val="none"/>
      </font>
      <numFmt numFmtId="164" formatCode="#,##0\ _€;[Red]#,##0\ _€"/>
    </dxf>
    <dxf>
      <font>
        <b/>
        <i val="0"/>
        <strike val="0"/>
        <u val="none"/>
        <sz val="16"/>
        <color rgb="FF002060"/>
        <name val="Aptos Narrow"/>
        <family val="2"/>
        <scheme val="none"/>
      </font>
      <numFmt numFmtId="164" formatCode="#,##0\ _€;[Red]#,##0\ _€"/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2060"/>
        <name val="Aptos Narrow"/>
        <family val="2"/>
        <scheme val="minor"/>
      </font>
      <numFmt numFmtId="164" formatCode="#,##0\ _€;[Red]#,##0\ _€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u val="none"/>
        <sz val="16"/>
        <color rgb="FF002060"/>
        <name val="Aptos Narrow"/>
        <family val="2"/>
        <scheme val="none"/>
      </font>
      <numFmt numFmtId="164" formatCode="#,##0\ _€;[Red]#,##0\ _€"/>
      <alignment horizontal="center" vertical="center"/>
    </dxf>
    <dxf>
      <font>
        <b/>
        <strike val="0"/>
        <u val="none"/>
        <sz val="16"/>
        <color rgb="FF002060"/>
        <name val="Aptos Narrow"/>
        <family val="2"/>
        <scheme val="none"/>
      </font>
      <numFmt numFmtId="164" formatCode="#,##0\ _€;[Red]#,##0\ _€"/>
    </dxf>
    <dxf>
      <font>
        <b/>
        <strike val="0"/>
        <u val="none"/>
        <sz val="16"/>
        <color rgb="FF002060"/>
        <name val="Aptos Narrow"/>
        <family val="2"/>
        <scheme val="none"/>
      </font>
    </dxf>
    <dxf>
      <font>
        <b/>
        <i val="0"/>
        <strike val="0"/>
        <u val="none"/>
        <sz val="16"/>
        <color rgb="FF002060"/>
        <name val="Aptos Narrow"/>
        <family val="2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2060"/>
        <name val="Aptos Narrow"/>
        <charset val="134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u val="none"/>
        <sz val="16"/>
        <color rgb="FF002060"/>
        <name val="Aptos Narrow"/>
        <family val="2"/>
        <scheme val="none"/>
      </font>
    </dxf>
    <dxf>
      <font>
        <b/>
        <i val="0"/>
        <strike val="0"/>
        <u val="none"/>
        <sz val="16"/>
        <color rgb="FF002060"/>
        <name val="Aptos Narrow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b/>
        <strike val="0"/>
        <u val="none"/>
        <sz val="16"/>
        <color rgb="FF002060"/>
        <name val="Aptos Narrow"/>
        <family val="2"/>
        <scheme val="none"/>
      </font>
    </dxf>
    <dxf>
      <fill>
        <patternFill patternType="solid">
          <bgColor theme="0" tint="-0.14993743705557422"/>
        </patternFill>
      </fill>
    </dxf>
    <dxf>
      <font>
        <color theme="1"/>
      </font>
      <fill>
        <patternFill patternType="solid">
          <bgColor theme="0" tint="-0.24994659260841701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</dxfs>
  <tableStyles count="1" defaultTableStyle="TableStyleMedium2" defaultPivotStyle="PivotStyleLight16">
    <tableStyle name="Plan de liste" pivot="0" count="3" xr9:uid="{BE8A8679-297E-4F1C-A35F-4EE69B6C5457}">
      <tableStyleElement type="wholeTable" dxfId="16"/>
      <tableStyleElement type="headerRow" dxfId="15"/>
      <tableStyleElement type="first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228600</xdr:rowOff>
    </xdr:from>
    <xdr:to>
      <xdr:col>1</xdr:col>
      <xdr:colOff>647700</xdr:colOff>
      <xdr:row>2</xdr:row>
      <xdr:rowOff>179069</xdr:rowOff>
    </xdr:to>
    <xdr:grpSp>
      <xdr:nvGrpSpPr>
        <xdr:cNvPr id="11" name="Listes du plan marketing" descr="Lien de navigation vers la feuille de calcul Données de list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314326" y="1190625"/>
          <a:ext cx="647699" cy="369569"/>
          <a:chOff x="200026" y="670389"/>
          <a:chExt cx="4756941" cy="451656"/>
        </a:xfrm>
      </xdr:grpSpPr>
      <xdr:sp macro="" textlink="">
        <xdr:nvSpPr>
          <xdr:cNvPr id="12" name="Rectangle 13" descr="Lien de navigation vers la feuille de calcul Données de liste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/>
        </xdr:nvSpPr>
        <xdr:spPr>
          <a:xfrm>
            <a:off x="200026" y="1055543"/>
            <a:ext cx="1030917" cy="66502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tIns="0" bIns="0" rtlCol="0" anchor="ctr"/>
          <a:lstStyle/>
          <a:p>
            <a:pPr marL="0" indent="0" algn="l" rtl="0"/>
            <a:r>
              <a:rPr lang="en-US" sz="1200" b="0" spc="6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+mn-cs"/>
              </a:rPr>
              <a:t>Accéder aux donnéesdu plan marketing</a:t>
            </a:r>
          </a:p>
        </xdr:txBody>
      </xdr:sp>
      <xdr:sp macro="" textlink="">
        <xdr:nvSpPr>
          <xdr:cNvPr id="13" name="Forme libre 5" descr="Flèche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>
          <a:xfrm flipH="1">
            <a:off x="4864027" y="670389"/>
            <a:ext cx="92940" cy="161469"/>
          </a:xfrm>
          <a:custGeom>
            <a:avLst/>
            <a:gdLst>
              <a:gd name="T0" fmla="*/ 548 w 1867"/>
              <a:gd name="T1" fmla="*/ 0 h 2966"/>
              <a:gd name="T2" fmla="*/ 1867 w 1867"/>
              <a:gd name="T3" fmla="*/ 1484 h 2966"/>
              <a:gd name="T4" fmla="*/ 548 w 1867"/>
              <a:gd name="T5" fmla="*/ 2966 h 2966"/>
              <a:gd name="T6" fmla="*/ 0 w 1867"/>
              <a:gd name="T7" fmla="*/ 2479 h 2966"/>
              <a:gd name="T8" fmla="*/ 885 w 1867"/>
              <a:gd name="T9" fmla="*/ 1484 h 2966"/>
              <a:gd name="T10" fmla="*/ 0 w 1867"/>
              <a:gd name="T11" fmla="*/ 487 h 2966"/>
              <a:gd name="T12" fmla="*/ 548 w 1867"/>
              <a:gd name="T13" fmla="*/ 0 h 2966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0 w 10000"/>
              <a:gd name="connsiteY4" fmla="*/ 1642 h 10000"/>
              <a:gd name="connsiteX5" fmla="*/ 2935 w 10000"/>
              <a:gd name="connsiteY5" fmla="*/ 0 h 10000"/>
              <a:gd name="connsiteX0-1" fmla="*/ 2935 w 10000"/>
              <a:gd name="connsiteY0-2" fmla="*/ 0 h 10000"/>
              <a:gd name="connsiteX1-3" fmla="*/ 10000 w 10000"/>
              <a:gd name="connsiteY1-4" fmla="*/ 5003 h 10000"/>
              <a:gd name="connsiteX2-5" fmla="*/ 2935 w 10000"/>
              <a:gd name="connsiteY2-6" fmla="*/ 10000 h 10000"/>
              <a:gd name="connsiteX3-7" fmla="*/ 0 w 10000"/>
              <a:gd name="connsiteY3-8" fmla="*/ 8358 h 10000"/>
              <a:gd name="connsiteX4-9" fmla="*/ 2935 w 10000"/>
              <a:gd name="connsiteY4-10" fmla="*/ 0 h 10000"/>
              <a:gd name="connsiteX0-11" fmla="*/ 0 w 7065"/>
              <a:gd name="connsiteY0-12" fmla="*/ 0 h 10000"/>
              <a:gd name="connsiteX1-13" fmla="*/ 7065 w 7065"/>
              <a:gd name="connsiteY1-14" fmla="*/ 5003 h 10000"/>
              <a:gd name="connsiteX2-15" fmla="*/ 0 w 7065"/>
              <a:gd name="connsiteY2-16" fmla="*/ 10000 h 10000"/>
              <a:gd name="connsiteX3-17" fmla="*/ 0 w 7065"/>
              <a:gd name="connsiteY3-18" fmla="*/ 0 h 10000"/>
            </a:gdLst>
            <a:ahLst/>
            <a:cxnLst>
              <a:cxn ang="0">
                <a:pos x="connsiteX0-1" y="connsiteY0-2"/>
              </a:cxn>
              <a:cxn ang="0">
                <a:pos x="connsiteX1-3" y="connsiteY1-4"/>
              </a:cxn>
              <a:cxn ang="0">
                <a:pos x="connsiteX2-5" y="connsiteY2-6"/>
              </a:cxn>
              <a:cxn ang="0">
                <a:pos x="connsiteX3-7" y="connsiteY3-8"/>
              </a:cxn>
            </a:cxnLst>
            <a:rect l="l" t="t" r="r" b="b"/>
            <a:pathLst>
              <a:path w="7065" h="10000">
                <a:moveTo>
                  <a:pt x="0" y="0"/>
                </a:moveTo>
                <a:lnTo>
                  <a:pt x="7065" y="5003"/>
                </a:lnTo>
                <a:lnTo>
                  <a:pt x="0" y="10000"/>
                </a:lnTo>
                <a:lnTo>
                  <a:pt x="0" y="0"/>
                </a:lnTo>
                <a:close/>
              </a:path>
            </a:pathLst>
          </a:custGeom>
          <a:solidFill>
            <a:schemeClr val="bg1">
              <a:lumMod val="50000"/>
            </a:schemeClr>
          </a:solidFill>
          <a:ln w="0">
            <a:noFill/>
            <a:prstDash val="solid"/>
            <a:round/>
          </a:ln>
        </xdr:spPr>
      </xdr:sp>
    </xdr:grpSp>
    <xdr:clientData fPrintsWithSheet="0"/>
  </xdr:twoCellAnchor>
  <xdr:twoCellAnchor>
    <xdr:from>
      <xdr:col>1</xdr:col>
      <xdr:colOff>10711</xdr:colOff>
      <xdr:row>0</xdr:row>
      <xdr:rowOff>104775</xdr:rowOff>
    </xdr:from>
    <xdr:to>
      <xdr:col>1</xdr:col>
      <xdr:colOff>457201</xdr:colOff>
      <xdr:row>0</xdr:row>
      <xdr:rowOff>600075</xdr:rowOff>
    </xdr:to>
    <xdr:grpSp>
      <xdr:nvGrpSpPr>
        <xdr:cNvPr id="14" name="Groupe 13" descr="icône représentant deux personnes" title="Icône de liste de prix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>
          <a:grpSpLocks noChangeAspect="1"/>
        </xdr:cNvGrpSpPr>
      </xdr:nvGrpSpPr>
      <xdr:grpSpPr>
        <a:xfrm>
          <a:off x="325036" y="104775"/>
          <a:ext cx="446490" cy="495300"/>
          <a:chOff x="3682" y="1129"/>
          <a:chExt cx="1340" cy="1158"/>
        </a:xfrm>
      </xdr:grpSpPr>
      <xdr:sp macro="" textlink="">
        <xdr:nvSpPr>
          <xdr:cNvPr id="15" name="Forme automatique 19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>
            <a:spLocks noChangeAspect="1" noChangeArrowheads="1" noTextEdit="1"/>
          </xdr:cNvSpPr>
        </xdr:nvSpPr>
        <xdr:spPr>
          <a:xfrm>
            <a:off x="3693" y="1139"/>
            <a:ext cx="1329" cy="11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rtlCol="0" anchor="t" anchorCtr="0" compatLnSpc="1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endParaRPr lang="en-GB"/>
          </a:p>
        </xdr:txBody>
      </xdr:sp>
      <xdr:sp macro="" textlink="">
        <xdr:nvSpPr>
          <xdr:cNvPr id="16" name="Forme libre 21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/>
        </xdr:nvSpPr>
        <xdr:spPr>
          <a:xfrm>
            <a:off x="3682" y="1791"/>
            <a:ext cx="1092" cy="496"/>
          </a:xfrm>
          <a:custGeom>
            <a:avLst/>
            <a:gdLst>
              <a:gd name="T0" fmla="*/ 83 w 106"/>
              <a:gd name="T1" fmla="*/ 0 h 48"/>
              <a:gd name="T2" fmla="*/ 70 w 106"/>
              <a:gd name="T3" fmla="*/ 0 h 48"/>
              <a:gd name="T4" fmla="*/ 53 w 106"/>
              <a:gd name="T5" fmla="*/ 17 h 48"/>
              <a:gd name="T6" fmla="*/ 36 w 106"/>
              <a:gd name="T7" fmla="*/ 0 h 48"/>
              <a:gd name="T8" fmla="*/ 23 w 106"/>
              <a:gd name="T9" fmla="*/ 0 h 48"/>
              <a:gd name="T10" fmla="*/ 0 w 106"/>
              <a:gd name="T11" fmla="*/ 23 h 48"/>
              <a:gd name="T12" fmla="*/ 0 w 106"/>
              <a:gd name="T13" fmla="*/ 48 h 48"/>
              <a:gd name="T14" fmla="*/ 106 w 106"/>
              <a:gd name="T15" fmla="*/ 48 h 48"/>
              <a:gd name="T16" fmla="*/ 106 w 106"/>
              <a:gd name="T17" fmla="*/ 23 h 48"/>
              <a:gd name="T18" fmla="*/ 83 w 106"/>
              <a:gd name="T19" fmla="*/ 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06" h="48">
                <a:moveTo>
                  <a:pt x="83" y="0"/>
                </a:moveTo>
                <a:cubicBezTo>
                  <a:pt x="70" y="0"/>
                  <a:pt x="70" y="0"/>
                  <a:pt x="70" y="0"/>
                </a:cubicBezTo>
                <a:cubicBezTo>
                  <a:pt x="53" y="17"/>
                  <a:pt x="53" y="17"/>
                  <a:pt x="53" y="17"/>
                </a:cubicBezTo>
                <a:cubicBezTo>
                  <a:pt x="36" y="0"/>
                  <a:pt x="36" y="0"/>
                  <a:pt x="36" y="0"/>
                </a:cubicBezTo>
                <a:cubicBezTo>
                  <a:pt x="23" y="0"/>
                  <a:pt x="23" y="0"/>
                  <a:pt x="23" y="0"/>
                </a:cubicBezTo>
                <a:cubicBezTo>
                  <a:pt x="10" y="0"/>
                  <a:pt x="0" y="10"/>
                  <a:pt x="0" y="23"/>
                </a:cubicBezTo>
                <a:cubicBezTo>
                  <a:pt x="0" y="48"/>
                  <a:pt x="0" y="48"/>
                  <a:pt x="0" y="48"/>
                </a:cubicBezTo>
                <a:cubicBezTo>
                  <a:pt x="106" y="48"/>
                  <a:pt x="106" y="48"/>
                  <a:pt x="106" y="48"/>
                </a:cubicBezTo>
                <a:cubicBezTo>
                  <a:pt x="106" y="23"/>
                  <a:pt x="106" y="23"/>
                  <a:pt x="106" y="23"/>
                </a:cubicBezTo>
                <a:cubicBezTo>
                  <a:pt x="106" y="10"/>
                  <a:pt x="95" y="0"/>
                  <a:pt x="83" y="0"/>
                </a:cubicBezTo>
                <a:close/>
              </a:path>
            </a:pathLst>
          </a:custGeom>
          <a:solidFill>
            <a:schemeClr val="accent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rtlCol="0" anchor="t" anchorCtr="0" compatLnSpc="1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endParaRPr lang="en-GB"/>
          </a:p>
        </xdr:txBody>
      </xdr:sp>
      <xdr:sp macro="" textlink="">
        <xdr:nvSpPr>
          <xdr:cNvPr id="17" name="Ovale 9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>
            <a:spLocks noChangeArrowheads="1"/>
          </xdr:cNvSpPr>
        </xdr:nvSpPr>
        <xdr:spPr>
          <a:xfrm>
            <a:off x="3961" y="1232"/>
            <a:ext cx="525" cy="528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rtlCol="0" anchor="t" anchorCtr="0" compatLnSpc="1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endParaRPr lang="en-GB"/>
          </a:p>
        </xdr:txBody>
      </xdr:sp>
      <xdr:sp macro="" textlink="">
        <xdr:nvSpPr>
          <xdr:cNvPr id="18" name="Forme libre 23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/>
        </xdr:nvSpPr>
        <xdr:spPr>
          <a:xfrm>
            <a:off x="4568" y="1636"/>
            <a:ext cx="443" cy="444"/>
          </a:xfrm>
          <a:custGeom>
            <a:avLst/>
            <a:gdLst>
              <a:gd name="T0" fmla="*/ 23 w 43"/>
              <a:gd name="T1" fmla="*/ 0 h 43"/>
              <a:gd name="T2" fmla="*/ 11 w 43"/>
              <a:gd name="T3" fmla="*/ 0 h 43"/>
              <a:gd name="T4" fmla="*/ 0 w 43"/>
              <a:gd name="T5" fmla="*/ 11 h 43"/>
              <a:gd name="T6" fmla="*/ 5 w 43"/>
              <a:gd name="T7" fmla="*/ 11 h 43"/>
              <a:gd name="T8" fmla="*/ 28 w 43"/>
              <a:gd name="T9" fmla="*/ 33 h 43"/>
              <a:gd name="T10" fmla="*/ 28 w 43"/>
              <a:gd name="T11" fmla="*/ 43 h 43"/>
              <a:gd name="T12" fmla="*/ 43 w 43"/>
              <a:gd name="T13" fmla="*/ 43 h 43"/>
              <a:gd name="T14" fmla="*/ 43 w 43"/>
              <a:gd name="T15" fmla="*/ 21 h 43"/>
              <a:gd name="T16" fmla="*/ 23 w 43"/>
              <a:gd name="T1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3" h="43">
                <a:moveTo>
                  <a:pt x="23" y="0"/>
                </a:moveTo>
                <a:cubicBezTo>
                  <a:pt x="11" y="0"/>
                  <a:pt x="11" y="0"/>
                  <a:pt x="11" y="0"/>
                </a:cubicBezTo>
                <a:cubicBezTo>
                  <a:pt x="0" y="11"/>
                  <a:pt x="0" y="11"/>
                  <a:pt x="0" y="11"/>
                </a:cubicBezTo>
                <a:cubicBezTo>
                  <a:pt x="5" y="11"/>
                  <a:pt x="5" y="11"/>
                  <a:pt x="5" y="11"/>
                </a:cubicBezTo>
                <a:cubicBezTo>
                  <a:pt x="18" y="11"/>
                  <a:pt x="28" y="21"/>
                  <a:pt x="28" y="33"/>
                </a:cubicBezTo>
                <a:cubicBezTo>
                  <a:pt x="28" y="43"/>
                  <a:pt x="28" y="43"/>
                  <a:pt x="28" y="43"/>
                </a:cubicBezTo>
                <a:cubicBezTo>
                  <a:pt x="43" y="43"/>
                  <a:pt x="43" y="43"/>
                  <a:pt x="43" y="43"/>
                </a:cubicBezTo>
                <a:cubicBezTo>
                  <a:pt x="43" y="21"/>
                  <a:pt x="43" y="21"/>
                  <a:pt x="43" y="21"/>
                </a:cubicBezTo>
                <a:cubicBezTo>
                  <a:pt x="43" y="9"/>
                  <a:pt x="34" y="0"/>
                  <a:pt x="23" y="0"/>
                </a:cubicBezTo>
                <a:close/>
              </a:path>
            </a:pathLst>
          </a:custGeom>
          <a:solidFill>
            <a:schemeClr val="accent3">
              <a:lumMod val="75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rtlCol="0" anchor="t" anchorCtr="0" compatLnSpc="1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endParaRPr lang="en-GB"/>
          </a:p>
        </xdr:txBody>
      </xdr:sp>
      <xdr:sp macro="" textlink="">
        <xdr:nvSpPr>
          <xdr:cNvPr id="19" name="Forme libre 24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/>
        </xdr:nvSpPr>
        <xdr:spPr>
          <a:xfrm>
            <a:off x="4352" y="1129"/>
            <a:ext cx="402" cy="476"/>
          </a:xfrm>
          <a:custGeom>
            <a:avLst/>
            <a:gdLst>
              <a:gd name="T0" fmla="*/ 16 w 39"/>
              <a:gd name="T1" fmla="*/ 0 h 46"/>
              <a:gd name="T2" fmla="*/ 0 w 39"/>
              <a:gd name="T3" fmla="*/ 6 h 46"/>
              <a:gd name="T4" fmla="*/ 22 w 39"/>
              <a:gd name="T5" fmla="*/ 31 h 46"/>
              <a:gd name="T6" fmla="*/ 17 w 39"/>
              <a:gd name="T7" fmla="*/ 46 h 46"/>
              <a:gd name="T8" fmla="*/ 39 w 39"/>
              <a:gd name="T9" fmla="*/ 23 h 46"/>
              <a:gd name="T10" fmla="*/ 16 w 39"/>
              <a:gd name="T11" fmla="*/ 0 h 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9" h="46">
                <a:moveTo>
                  <a:pt x="16" y="0"/>
                </a:moveTo>
                <a:cubicBezTo>
                  <a:pt x="10" y="0"/>
                  <a:pt x="4" y="2"/>
                  <a:pt x="0" y="6"/>
                </a:cubicBezTo>
                <a:cubicBezTo>
                  <a:pt x="12" y="8"/>
                  <a:pt x="22" y="19"/>
                  <a:pt x="22" y="31"/>
                </a:cubicBezTo>
                <a:cubicBezTo>
                  <a:pt x="22" y="37"/>
                  <a:pt x="20" y="42"/>
                  <a:pt x="17" y="46"/>
                </a:cubicBezTo>
                <a:cubicBezTo>
                  <a:pt x="29" y="46"/>
                  <a:pt x="39" y="36"/>
                  <a:pt x="39" y="23"/>
                </a:cubicBezTo>
                <a:cubicBezTo>
                  <a:pt x="39" y="10"/>
                  <a:pt x="29" y="0"/>
                  <a:pt x="16" y="0"/>
                </a:cubicBezTo>
                <a:close/>
              </a:path>
            </a:pathLst>
          </a:custGeom>
          <a:solidFill>
            <a:schemeClr val="accent3">
              <a:lumMod val="50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rtlCol="0" anchor="t" anchorCtr="0" compatLnSpc="1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endParaRPr lang="en-GB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9FFAE6-956A-4CF6-BC8D-A22793487E60}" name="Tableau3278910111213245678910" displayName="Tableau3278910111213245678910" ref="A5:M17" totalsRowShown="0">
  <autoFilter ref="A5:M17" xr:uid="{00000000-0009-0000-0100-000005000000}"/>
  <tableColumns count="13">
    <tableColumn id="1" xr3:uid="{EC3688B4-4E24-4001-BDB9-503431C8E1AA}" name="CLIENT/AFFAIRES" dataDxfId="13"/>
    <tableColumn id="10" xr3:uid="{578E32EF-1B29-4983-AB54-D15A3003C67D}" name="COMMERCIAL" dataDxfId="12"/>
    <tableColumn id="3" xr3:uid="{2037FCFE-6C1C-488C-81A0-17C9DF9CFA05}" name="DATE LIVRAISON" dataDxfId="11"/>
    <tableColumn id="12" xr3:uid="{C7A9DDB4-C9BE-4CB4-9726-C5AEE9326871}" name="DATE DE PAYEMENT" dataDxfId="10">
      <calculatedColumnFormula>C6+30</calculatedColumnFormula>
    </tableColumn>
    <tableColumn id="8" xr3:uid="{814F432B-947C-48F1-8C6F-CB7D5BF3294F}" name="SERVICE" dataDxfId="9"/>
    <tableColumn id="4" xr3:uid="{A4E11DC9-D2B2-49FA-A22F-13C4BD0EF163}" name="CATEGORIE" dataDxfId="8"/>
    <tableColumn id="5" xr3:uid="{373CE9EF-1B5C-4DB0-B778-B4F676B057F4}" name="MONTANT A PAYER" dataDxfId="7"/>
    <tableColumn id="2" xr3:uid="{87E92A99-EDC9-4091-99FF-B276091F9949}" name="MONTANT UTILISE" dataDxfId="6">
      <calculatedColumnFormula>G6-K6</calculatedColumnFormula>
    </tableColumn>
    <tableColumn id="15" xr3:uid="{F406A37B-25C3-40B7-A0DA-E3C4B5C75D2D}" name="MARGE AVEC PRIME" dataDxfId="5"/>
    <tableColumn id="14" xr3:uid="{0B63468E-616E-4476-8C60-F08995B8E49F}" name="PRIME 10%"/>
    <tableColumn id="9" xr3:uid="{F80B7248-D4ED-44CD-B897-EA89A8D170A5}" name="MARGE HINOV" dataDxfId="4"/>
    <tableColumn id="6" xr3:uid="{6BC28E11-C49C-44B3-A7B3-990F6ACB07B8}" name="PAYE" dataDxfId="3">
      <calculatedColumnFormula>SUM(Tableau3278910111213245678910[[#This Row],[MONTANT A PAYER]]*0.1)</calculatedColumnFormula>
    </tableColumn>
    <tableColumn id="7" xr3:uid="{3AB74745-6EA7-4CA1-B965-58488E866554}" name="RESTE" dataDxfId="2">
      <calculatedColumnFormula>G6-L6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Personnes" displayName="Personnes" ref="B4:C11" totalsRowShown="0">
  <autoFilter ref="B4:C11" xr:uid="{00000000-0009-0000-0100-000002000000}"/>
  <tableColumns count="2">
    <tableColumn id="1" xr3:uid="{00000000-0010-0000-0500-000001000000}" name="Nom" dataDxfId="1"/>
    <tableColumn id="2" xr3:uid="{00000000-0010-0000-0500-000002000000}" name="Titre" dataDxfId="0"/>
  </tableColumns>
  <tableStyleInfo name="Plan de list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F965-D77C-46DA-B9DF-5BD462B4932E}">
  <dimension ref="A2:M34"/>
  <sheetViews>
    <sheetView tabSelected="1" topLeftCell="A3" workbookViewId="0">
      <pane xSplit="1" topLeftCell="F1" activePane="topRight" state="frozen"/>
      <selection pane="topRight" activeCell="J20" sqref="J20"/>
    </sheetView>
  </sheetViews>
  <sheetFormatPr baseColWidth="10" defaultColWidth="11" defaultRowHeight="13.5" x14ac:dyDescent="0.15"/>
  <cols>
    <col min="1" max="1" width="44.875" customWidth="1"/>
    <col min="2" max="2" width="23.5" customWidth="1"/>
    <col min="3" max="4" width="21" customWidth="1"/>
    <col min="5" max="5" width="22.25" customWidth="1"/>
    <col min="6" max="6" width="30" customWidth="1"/>
    <col min="7" max="7" width="24.5" customWidth="1"/>
    <col min="8" max="10" width="21.25" customWidth="1"/>
    <col min="11" max="11" width="20.5" customWidth="1"/>
    <col min="12" max="12" width="15.875" customWidth="1"/>
    <col min="13" max="13" width="21.75" customWidth="1"/>
  </cols>
  <sheetData>
    <row r="2" spans="1:13" ht="46.5" x14ac:dyDescent="0.15">
      <c r="C2" s="54"/>
      <c r="D2" s="54"/>
      <c r="E2" s="54"/>
      <c r="F2" s="54"/>
      <c r="G2" s="15"/>
    </row>
    <row r="3" spans="1:13" ht="46.5" x14ac:dyDescent="0.15">
      <c r="C3" s="54"/>
      <c r="D3" s="54"/>
      <c r="E3" s="54"/>
      <c r="F3" s="54"/>
      <c r="G3" s="15"/>
    </row>
    <row r="5" spans="1:13" ht="48" x14ac:dyDescent="0.15">
      <c r="A5" s="16" t="s">
        <v>0</v>
      </c>
      <c r="B5" s="16" t="s">
        <v>1</v>
      </c>
      <c r="C5" s="17" t="s">
        <v>2</v>
      </c>
      <c r="D5" s="47" t="s">
        <v>38</v>
      </c>
      <c r="E5" s="17" t="s">
        <v>3</v>
      </c>
      <c r="F5" s="16" t="s">
        <v>4</v>
      </c>
      <c r="G5" s="17" t="s">
        <v>5</v>
      </c>
      <c r="H5" s="17" t="s">
        <v>6</v>
      </c>
      <c r="I5" s="17" t="s">
        <v>41</v>
      </c>
      <c r="J5" s="18" t="s">
        <v>8</v>
      </c>
      <c r="K5" s="17" t="s">
        <v>42</v>
      </c>
      <c r="L5" s="18" t="s">
        <v>7</v>
      </c>
      <c r="M5" s="19" t="s">
        <v>9</v>
      </c>
    </row>
    <row r="6" spans="1:13" s="10" customFormat="1" ht="21" x14ac:dyDescent="0.35">
      <c r="A6" s="13" t="s">
        <v>11</v>
      </c>
      <c r="B6" s="26" t="s">
        <v>14</v>
      </c>
      <c r="C6" s="20">
        <v>46279</v>
      </c>
      <c r="D6" s="20"/>
      <c r="E6" s="45" t="s">
        <v>10</v>
      </c>
      <c r="F6" s="25" t="s">
        <v>16</v>
      </c>
      <c r="G6" s="24">
        <v>670000</v>
      </c>
      <c r="H6" s="24">
        <v>502000</v>
      </c>
      <c r="I6" s="21">
        <f>G6-H6</f>
        <v>168000</v>
      </c>
      <c r="J6" s="22">
        <f>(I6*10)/100</f>
        <v>16800</v>
      </c>
      <c r="K6" s="21">
        <f>I6-J6</f>
        <v>151200</v>
      </c>
      <c r="L6" s="53">
        <v>0</v>
      </c>
      <c r="M6" s="23">
        <f t="shared" ref="M6:M16" si="0">G6-L6</f>
        <v>670000</v>
      </c>
    </row>
    <row r="7" spans="1:13" s="10" customFormat="1" ht="21" x14ac:dyDescent="0.35">
      <c r="A7" s="13" t="s">
        <v>15</v>
      </c>
      <c r="B7" s="26"/>
      <c r="C7" s="20"/>
      <c r="D7" s="20"/>
      <c r="E7" s="45" t="s">
        <v>10</v>
      </c>
      <c r="F7" s="25" t="s">
        <v>39</v>
      </c>
      <c r="G7" s="24">
        <v>255000</v>
      </c>
      <c r="H7" s="21">
        <v>180000</v>
      </c>
      <c r="I7" s="21">
        <f>G7-H7</f>
        <v>75000</v>
      </c>
      <c r="J7" s="22">
        <v>0</v>
      </c>
      <c r="K7" s="21">
        <f>I7-J7</f>
        <v>75000</v>
      </c>
      <c r="L7" s="53">
        <v>0</v>
      </c>
      <c r="M7" s="23">
        <f t="shared" si="0"/>
        <v>255000</v>
      </c>
    </row>
    <row r="8" spans="1:13" s="10" customFormat="1" ht="21" x14ac:dyDescent="0.35">
      <c r="A8" s="13" t="s">
        <v>43</v>
      </c>
      <c r="B8" s="44"/>
      <c r="C8" s="20"/>
      <c r="D8" s="20"/>
      <c r="E8" s="45" t="s">
        <v>40</v>
      </c>
      <c r="F8" s="46" t="s">
        <v>44</v>
      </c>
      <c r="G8" s="21">
        <v>150000</v>
      </c>
      <c r="H8" s="21">
        <v>75000</v>
      </c>
      <c r="I8" s="21">
        <f>G8-H8</f>
        <v>75000</v>
      </c>
      <c r="J8" s="22">
        <v>0</v>
      </c>
      <c r="K8" s="21">
        <f>I8-J8</f>
        <v>75000</v>
      </c>
      <c r="L8" s="53">
        <v>0</v>
      </c>
      <c r="M8" s="23">
        <f t="shared" si="0"/>
        <v>150000</v>
      </c>
    </row>
    <row r="9" spans="1:13" s="10" customFormat="1" ht="21" x14ac:dyDescent="0.35">
      <c r="A9" s="13"/>
      <c r="B9" s="49"/>
      <c r="C9" s="50"/>
      <c r="D9" s="20"/>
      <c r="E9" s="45"/>
      <c r="F9" s="49"/>
      <c r="G9" s="51"/>
      <c r="H9" s="51"/>
      <c r="I9" s="21"/>
      <c r="J9" s="52"/>
      <c r="K9" s="21"/>
      <c r="L9" s="53"/>
      <c r="M9" s="23"/>
    </row>
    <row r="10" spans="1:13" s="10" customFormat="1" ht="21" x14ac:dyDescent="0.35">
      <c r="A10" s="49"/>
      <c r="B10" s="49"/>
      <c r="C10" s="50"/>
      <c r="D10" s="20"/>
      <c r="E10" s="45"/>
      <c r="F10" s="49"/>
      <c r="G10" s="51"/>
      <c r="H10" s="51"/>
      <c r="I10" s="21"/>
      <c r="J10" s="52"/>
      <c r="K10" s="21"/>
      <c r="L10" s="53"/>
      <c r="M10" s="23">
        <f t="shared" si="0"/>
        <v>0</v>
      </c>
    </row>
    <row r="11" spans="1:13" s="10" customFormat="1" ht="21" x14ac:dyDescent="0.35">
      <c r="A11" s="13"/>
      <c r="B11" s="13"/>
      <c r="C11" s="20"/>
      <c r="D11" s="20"/>
      <c r="E11" s="45"/>
      <c r="F11" s="25"/>
      <c r="G11" s="24"/>
      <c r="H11" s="21"/>
      <c r="I11" s="21"/>
      <c r="J11" s="22"/>
      <c r="K11" s="21"/>
      <c r="L11" s="53"/>
      <c r="M11" s="23">
        <f t="shared" si="0"/>
        <v>0</v>
      </c>
    </row>
    <row r="12" spans="1:13" s="10" customFormat="1" ht="21" x14ac:dyDescent="0.35">
      <c r="A12" s="13"/>
      <c r="B12" s="13"/>
      <c r="C12" s="20"/>
      <c r="D12" s="20"/>
      <c r="E12" s="45"/>
      <c r="F12" s="25"/>
      <c r="G12" s="24"/>
      <c r="H12" s="21"/>
      <c r="I12" s="21"/>
      <c r="J12" s="22"/>
      <c r="K12" s="21"/>
      <c r="L12" s="53"/>
      <c r="M12" s="23">
        <f t="shared" si="0"/>
        <v>0</v>
      </c>
    </row>
    <row r="13" spans="1:13" s="10" customFormat="1" ht="21" x14ac:dyDescent="0.35">
      <c r="A13" s="49"/>
      <c r="B13" s="49"/>
      <c r="C13" s="50"/>
      <c r="D13" s="20"/>
      <c r="E13" s="45"/>
      <c r="F13" s="49"/>
      <c r="G13" s="51"/>
      <c r="H13" s="51"/>
      <c r="I13" s="21"/>
      <c r="J13" s="52"/>
      <c r="K13" s="21"/>
      <c r="L13" s="53">
        <v>0</v>
      </c>
      <c r="M13" s="23">
        <f t="shared" si="0"/>
        <v>0</v>
      </c>
    </row>
    <row r="14" spans="1:13" s="10" customFormat="1" ht="21" x14ac:dyDescent="0.35">
      <c r="A14" s="49"/>
      <c r="B14" s="49"/>
      <c r="C14" s="50"/>
      <c r="D14" s="20"/>
      <c r="E14" s="45"/>
      <c r="F14" s="49"/>
      <c r="G14" s="51"/>
      <c r="H14" s="51"/>
      <c r="I14" s="21"/>
      <c r="J14" s="52"/>
      <c r="K14" s="21"/>
      <c r="L14" s="53">
        <v>0</v>
      </c>
      <c r="M14" s="23">
        <f t="shared" si="0"/>
        <v>0</v>
      </c>
    </row>
    <row r="15" spans="1:13" s="10" customFormat="1" ht="21" x14ac:dyDescent="0.35">
      <c r="A15" s="13"/>
      <c r="B15" s="13"/>
      <c r="C15" s="20"/>
      <c r="D15" s="20"/>
      <c r="E15" s="45"/>
      <c r="F15" s="13"/>
      <c r="G15" s="24"/>
      <c r="H15" s="21"/>
      <c r="I15" s="21"/>
      <c r="J15" s="22"/>
      <c r="K15" s="21"/>
      <c r="L15" s="53">
        <v>0</v>
      </c>
      <c r="M15" s="23">
        <f t="shared" si="0"/>
        <v>0</v>
      </c>
    </row>
    <row r="16" spans="1:13" s="10" customFormat="1" ht="21" x14ac:dyDescent="0.35">
      <c r="A16" s="13"/>
      <c r="B16" s="13"/>
      <c r="C16" s="20"/>
      <c r="D16" s="20"/>
      <c r="E16" s="45"/>
      <c r="F16" s="25"/>
      <c r="G16" s="24"/>
      <c r="H16" s="21"/>
      <c r="I16" s="21">
        <f>E16-F16</f>
        <v>0</v>
      </c>
      <c r="J16" s="22"/>
      <c r="K16" s="21">
        <f>G16-H16</f>
        <v>0</v>
      </c>
      <c r="L16" s="53">
        <v>0</v>
      </c>
      <c r="M16" s="23">
        <f t="shared" si="0"/>
        <v>0</v>
      </c>
    </row>
    <row r="17" spans="1:13" s="14" customFormat="1" ht="21" x14ac:dyDescent="0.15">
      <c r="A17" s="27"/>
      <c r="B17" s="27"/>
      <c r="C17" s="27"/>
      <c r="D17" s="48"/>
      <c r="E17" s="27" t="s">
        <v>12</v>
      </c>
      <c r="F17" s="27" t="s">
        <v>13</v>
      </c>
      <c r="G17" s="28">
        <f t="shared" ref="G17:M17" si="1">SUM(G6:G16)</f>
        <v>1075000</v>
      </c>
      <c r="H17" s="29">
        <f t="shared" si="1"/>
        <v>757000</v>
      </c>
      <c r="I17" s="29">
        <f t="shared" ref="I17" si="2">SUM(I6:I16)</f>
        <v>318000</v>
      </c>
      <c r="J17" s="29">
        <f>SUM(J6:J16)</f>
        <v>16800</v>
      </c>
      <c r="K17" s="29">
        <f t="shared" si="1"/>
        <v>301200</v>
      </c>
      <c r="L17" s="29">
        <f t="shared" si="1"/>
        <v>0</v>
      </c>
      <c r="M17" s="29">
        <f t="shared" si="1"/>
        <v>1075000</v>
      </c>
    </row>
    <row r="18" spans="1:13" x14ac:dyDescent="0.15">
      <c r="G18" s="30"/>
      <c r="H18" s="30"/>
      <c r="I18" s="30"/>
      <c r="J18" s="30"/>
      <c r="K18" s="30"/>
    </row>
    <row r="19" spans="1:13" ht="15" x14ac:dyDescent="0.15">
      <c r="B19" s="31"/>
      <c r="E19" s="32"/>
      <c r="G19" s="30"/>
      <c r="H19" s="33"/>
      <c r="I19" s="33"/>
      <c r="J19" s="33"/>
      <c r="K19" s="34"/>
    </row>
    <row r="20" spans="1:13" ht="15" x14ac:dyDescent="0.15">
      <c r="B20" s="31"/>
      <c r="E20" s="32"/>
      <c r="G20" s="30"/>
      <c r="H20" s="33"/>
      <c r="I20" s="33"/>
      <c r="J20" s="33"/>
      <c r="K20" s="34"/>
    </row>
    <row r="21" spans="1:13" ht="15" x14ac:dyDescent="0.15">
      <c r="B21" s="31"/>
      <c r="E21" s="32"/>
      <c r="G21" s="30"/>
      <c r="H21" s="33"/>
      <c r="I21" s="33"/>
      <c r="J21" s="33"/>
      <c r="K21" s="34"/>
    </row>
    <row r="22" spans="1:13" x14ac:dyDescent="0.15">
      <c r="B22" s="31"/>
      <c r="E22" s="32"/>
      <c r="G22" s="30"/>
      <c r="H22" s="30"/>
      <c r="I22" s="30"/>
      <c r="J22" s="30"/>
      <c r="K22" s="34"/>
    </row>
    <row r="23" spans="1:13" x14ac:dyDescent="0.15">
      <c r="B23" s="31"/>
      <c r="E23" s="32"/>
      <c r="G23" s="30"/>
      <c r="H23" s="30"/>
      <c r="I23" s="30"/>
      <c r="J23" s="30"/>
      <c r="K23" s="34"/>
    </row>
    <row r="24" spans="1:13" x14ac:dyDescent="0.15">
      <c r="B24" s="31"/>
      <c r="E24" s="32"/>
      <c r="G24" s="30"/>
      <c r="H24" s="30"/>
      <c r="I24" s="30"/>
      <c r="J24" s="30"/>
      <c r="K24" s="30"/>
    </row>
    <row r="25" spans="1:13" ht="15" x14ac:dyDescent="0.15">
      <c r="B25" s="31"/>
      <c r="E25" s="32"/>
      <c r="G25" s="30"/>
      <c r="H25" s="30"/>
      <c r="I25" s="30"/>
      <c r="J25" s="30"/>
      <c r="K25" s="35"/>
    </row>
    <row r="26" spans="1:13" ht="21" x14ac:dyDescent="0.25">
      <c r="B26" s="36"/>
      <c r="E26" s="32"/>
      <c r="F26" s="37"/>
      <c r="G26" s="12"/>
      <c r="H26" s="38"/>
      <c r="I26" s="38"/>
      <c r="J26" s="38"/>
      <c r="K26" s="30"/>
    </row>
    <row r="27" spans="1:13" ht="15" x14ac:dyDescent="0.25">
      <c r="B27" s="36"/>
      <c r="E27" s="32"/>
      <c r="F27" s="37"/>
    </row>
    <row r="28" spans="1:13" ht="15" x14ac:dyDescent="0.25">
      <c r="B28" s="36"/>
      <c r="E28" s="32"/>
      <c r="F28" s="37"/>
    </row>
    <row r="29" spans="1:13" ht="15" x14ac:dyDescent="0.25">
      <c r="B29" s="36"/>
      <c r="E29" s="32"/>
      <c r="F29" s="37"/>
    </row>
    <row r="30" spans="1:13" ht="15" x14ac:dyDescent="0.25">
      <c r="B30" s="36"/>
      <c r="E30" s="32"/>
      <c r="F30" s="37"/>
    </row>
    <row r="31" spans="1:13" ht="15" x14ac:dyDescent="0.25">
      <c r="B31" s="39"/>
      <c r="E31" s="32"/>
      <c r="F31" s="37"/>
    </row>
    <row r="32" spans="1:13" ht="15" x14ac:dyDescent="0.25">
      <c r="B32" s="36"/>
      <c r="E32" s="32"/>
      <c r="F32" s="37"/>
    </row>
    <row r="33" spans="2:6" ht="15" x14ac:dyDescent="0.25">
      <c r="B33" s="40"/>
      <c r="C33" s="41"/>
      <c r="D33" s="41"/>
      <c r="E33" s="42"/>
      <c r="F33" s="41"/>
    </row>
    <row r="34" spans="2:6" ht="15" x14ac:dyDescent="0.25">
      <c r="B34" s="43"/>
    </row>
  </sheetData>
  <mergeCells count="1">
    <mergeCell ref="C2:F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2"/>
  <dimension ref="A1:H11"/>
  <sheetViews>
    <sheetView workbookViewId="0">
      <selection activeCell="H6" sqref="H6"/>
    </sheetView>
  </sheetViews>
  <sheetFormatPr baseColWidth="10" defaultColWidth="11" defaultRowHeight="13.5" x14ac:dyDescent="0.15"/>
  <cols>
    <col min="1" max="1" width="4.125" customWidth="1"/>
    <col min="2" max="2" width="22.875" customWidth="1"/>
    <col min="3" max="3" width="26.875" customWidth="1"/>
    <col min="4" max="4" width="11.5" customWidth="1"/>
    <col min="5" max="5" width="14.875" customWidth="1"/>
    <col min="6" max="6" width="22.125" customWidth="1"/>
    <col min="7" max="7" width="12.875" customWidth="1"/>
    <col min="8" max="8" width="14.875" customWidth="1"/>
  </cols>
  <sheetData>
    <row r="1" spans="1:8" ht="75.75" customHeight="1" x14ac:dyDescent="0.15">
      <c r="A1" s="1"/>
      <c r="B1" s="55" t="s">
        <v>17</v>
      </c>
      <c r="C1" s="55"/>
    </row>
    <row r="2" spans="1:8" ht="33" customHeight="1" x14ac:dyDescent="0.15">
      <c r="A2" s="1"/>
      <c r="B2" s="56" t="s">
        <v>18</v>
      </c>
      <c r="C2" s="56"/>
    </row>
    <row r="3" spans="1:8" ht="32.25" customHeight="1" x14ac:dyDescent="0.15">
      <c r="A3" s="1"/>
      <c r="B3" s="2"/>
      <c r="C3" s="2"/>
    </row>
    <row r="4" spans="1:8" ht="30.75" customHeight="1" x14ac:dyDescent="0.15">
      <c r="A4" s="3"/>
      <c r="B4" s="4" t="s">
        <v>19</v>
      </c>
      <c r="C4" s="4" t="s">
        <v>20</v>
      </c>
    </row>
    <row r="5" spans="1:8" ht="27" x14ac:dyDescent="0.15">
      <c r="A5" s="1"/>
      <c r="B5" s="5" t="s">
        <v>21</v>
      </c>
      <c r="C5" s="5" t="s">
        <v>22</v>
      </c>
      <c r="E5" s="6" t="s">
        <v>23</v>
      </c>
      <c r="F5" s="7" t="s">
        <v>24</v>
      </c>
      <c r="G5" s="8" t="s">
        <v>25</v>
      </c>
      <c r="H5" s="9" t="s">
        <v>26</v>
      </c>
    </row>
    <row r="6" spans="1:8" ht="45" customHeight="1" x14ac:dyDescent="0.25">
      <c r="A6" s="1"/>
      <c r="B6" s="5" t="s">
        <v>27</v>
      </c>
      <c r="C6" s="5" t="s">
        <v>28</v>
      </c>
      <c r="E6" s="10"/>
      <c r="F6" s="11"/>
      <c r="H6" s="12" t="s">
        <v>26</v>
      </c>
    </row>
    <row r="7" spans="1:8" ht="27" x14ac:dyDescent="0.15">
      <c r="A7" s="1"/>
      <c r="B7" s="5" t="s">
        <v>29</v>
      </c>
      <c r="C7" s="5" t="s">
        <v>30</v>
      </c>
    </row>
    <row r="8" spans="1:8" x14ac:dyDescent="0.15">
      <c r="A8" s="1"/>
      <c r="B8" s="5" t="s">
        <v>31</v>
      </c>
      <c r="C8" s="5" t="s">
        <v>32</v>
      </c>
    </row>
    <row r="9" spans="1:8" ht="27" x14ac:dyDescent="0.15">
      <c r="A9" s="1"/>
      <c r="B9" s="5" t="s">
        <v>33</v>
      </c>
      <c r="C9" s="5" t="s">
        <v>32</v>
      </c>
    </row>
    <row r="10" spans="1:8" x14ac:dyDescent="0.15">
      <c r="A10" s="1"/>
      <c r="B10" s="5" t="s">
        <v>34</v>
      </c>
      <c r="C10" s="5" t="s">
        <v>35</v>
      </c>
    </row>
    <row r="11" spans="1:8" x14ac:dyDescent="0.15">
      <c r="A11" s="1"/>
      <c r="B11" s="5" t="s">
        <v>36</v>
      </c>
      <c r="C11" s="5" t="s">
        <v>37</v>
      </c>
    </row>
  </sheetData>
  <mergeCells count="2">
    <mergeCell ref="B1:C1"/>
    <mergeCell ref="B2:C2"/>
  </mergeCells>
  <dataValidations count="6">
    <dataValidation allowBlank="1" showInputMessage="1" showErrorMessage="1" prompt="Cette feuille de calcul permet de renseigner les colonnes Propriétaire et Attribuée à, et d’associer le nom des personnes à leur fonction. Sélectionnez la cellule B2 pour accéder à la feuille de calcul de données du Plan marketing" sqref="A1" xr:uid="{00000000-0002-0000-0500-000000000000}"/>
    <dataValidation allowBlank="1" showInputMessage="1" showErrorMessage="1" prompt="Le titre de cette feuille de calcul figure dans cette cellule." sqref="B1" xr:uid="{00000000-0002-0000-0500-000001000000}"/>
    <dataValidation allowBlank="1" showInputMessage="1" showErrorMessage="1" prompt="Lien d’accès à la feuille de calcul Données du plan marketing" sqref="B2:C2" xr:uid="{00000000-0002-0000-0500-000002000000}"/>
    <dataValidation allowBlank="1" showErrorMessage="1" prompt="Lien d’accès à la feuille de calcul Données du plan marketing" sqref="B3:C3" xr:uid="{00000000-0002-0000-0500-000003000000}"/>
    <dataValidation allowBlank="1" showInputMessage="1" showErrorMessage="1" prompt="Entrez le nom dans cette colonne sous ce titre. Utilisez des filtres de titre pour trouver des entrées spécifiques." sqref="B4" xr:uid="{00000000-0002-0000-0500-000004000000}"/>
    <dataValidation allowBlank="1" showInputMessage="1" showErrorMessage="1" prompt="Entrez le titre dans cette colonne sous ce titre" sqref="C4" xr:uid="{00000000-0002-0000-0500-000005000000}"/>
  </dataValidations>
  <hyperlinks>
    <hyperlink ref="B2:C2" location="'Données du plan marketing'!A1" tooltip="Sélectionnez pour accéder à la feuille de calcul Données du plan marketing" display="Données du Plan Marketing" xr:uid="{00000000-0004-0000-0500-000000000000}"/>
  </hyperlink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6W6Vz3YysQ7LevyjZJbN+AAAAAAIAAAAAABBmAAAAAQAAIAAAAOD4Dulf7oYAlYYZvvehSEMReNeshB7cp4IjMC56+EYAAAAAAA6AAAAAAgAAIAAAAJvoc+CN7eIXw4rHogswFwhKECmvfsa0h3tb/Y4lvlYVUAAAAEnWMZ7tZXmlOQANSCjGqKQIfkwX698JWrbXGF0w8cFrjo5Ucn+G7+ek3/eJeDzSVeErWL6Kn775PogbRj8miEpqNbEIbqccatNZ9B4yO+LtQAAAAIF7pOZjrRr0K2iDxTl+pIiMzfKLpQgWTWIkWZVMptrDBfEjBg8vopjTv7KPw3i+lyjmVEzNHDobFr1KWY87TB4=</DataMashup>
</file>

<file path=customXml/itemProps1.xml><?xml version="1.0" encoding="utf-8"?>
<ds:datastoreItem xmlns:ds="http://schemas.openxmlformats.org/officeDocument/2006/customXml" ds:itemID="{78E639C8-9047-431D-8919-13AA4F9BF3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SEPTEMBRE</vt:lpstr>
      <vt:lpstr>Données de Liste</vt:lpstr>
      <vt:lpstr>SEPTEMBRE!Commercial</vt:lpstr>
      <vt:lpstr>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Hinov Group</dc:creator>
  <cp:lastModifiedBy>Ouattara Yacouba</cp:lastModifiedBy>
  <dcterms:created xsi:type="dcterms:W3CDTF">2024-08-30T08:20:00Z</dcterms:created>
  <dcterms:modified xsi:type="dcterms:W3CDTF">2026-09-28T16:37:56Z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EC721A42F8BA48CF89E487160A8D0F37_12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